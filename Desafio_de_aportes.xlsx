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anr\Documents\projetos\DIO\Excel\"/>
    </mc:Choice>
  </mc:AlternateContent>
  <xr:revisionPtr revIDLastSave="0" documentId="8_{C7807324-7D16-45B1-A86B-DF01B1C333A3}" xr6:coauthVersionLast="47" xr6:coauthVersionMax="47" xr10:uidLastSave="{00000000-0000-0000-0000-000000000000}"/>
  <bookViews>
    <workbookView xWindow="-120" yWindow="-120" windowWidth="20730" windowHeight="11040" xr2:uid="{9A65D57F-5047-422F-BC7B-681D76E84EB8}"/>
  </bookViews>
  <sheets>
    <sheet name="Planilha1" sheetId="1" r:id="rId1"/>
    <sheet name="Planilha2" sheetId="2" r:id="rId2"/>
  </sheets>
  <definedNames>
    <definedName name="aporte">Planilha1!$D$15</definedName>
    <definedName name="patrimonio">Planilha1!$D$18</definedName>
    <definedName name="qtd_anos">Planilha1!$D$16</definedName>
    <definedName name="rendimento_carteira">Planilha1!$D$11</definedName>
    <definedName name="salario">Planilha1!$D$10</definedName>
    <definedName name="sugestao_investimento">Planilha1!$D$12</definedName>
    <definedName name="taxa_mensal">Planilha1!$D$17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1" l="1"/>
  <c r="C34" i="1"/>
  <c r="C35" i="1"/>
  <c r="C36" i="1"/>
  <c r="C37" i="1"/>
  <c r="C32" i="1"/>
  <c r="H4" i="2"/>
  <c r="C29" i="1"/>
  <c r="D18" i="1"/>
  <c r="D19" i="1" s="1"/>
  <c r="D12" i="1"/>
  <c r="C22" i="1"/>
  <c r="D22" i="1" s="1"/>
  <c r="C23" i="1"/>
  <c r="D23" i="1" s="1"/>
  <c r="C24" i="1"/>
  <c r="D24" i="1" s="1"/>
  <c r="C25" i="1"/>
  <c r="D25" i="1" s="1"/>
  <c r="C26" i="1"/>
  <c r="D26" i="1" s="1"/>
  <c r="D36" i="1" l="1"/>
  <c r="D37" i="1"/>
  <c r="D38" i="1" s="1"/>
  <c r="D32" i="1"/>
  <c r="D35" i="1"/>
  <c r="D34" i="1"/>
  <c r="D33" i="1"/>
</calcChain>
</file>

<file path=xl/sharedStrings.xml><?xml version="1.0" encoding="utf-8"?>
<sst xmlns="http://schemas.openxmlformats.org/spreadsheetml/2006/main" count="88" uniqueCount="52">
  <si>
    <t>Quanto investir por mês?</t>
  </si>
  <si>
    <t>Por quantos anos?</t>
  </si>
  <si>
    <t>Taxa de rendimento mensal?</t>
  </si>
  <si>
    <t>Patrimônio acumulado?</t>
  </si>
  <si>
    <t>Dividendos mensais?</t>
  </si>
  <si>
    <t>INVESTIMENTO MENSAL</t>
  </si>
  <si>
    <t>Quanto em 2 anos?</t>
  </si>
  <si>
    <t>Quanto em 5 anos?</t>
  </si>
  <si>
    <t>Quanto em 10 anos?</t>
  </si>
  <si>
    <t>Quanto em 20 anos?</t>
  </si>
  <si>
    <t>Quanto em 30 anos?</t>
  </si>
  <si>
    <t>Rendimento carteira</t>
  </si>
  <si>
    <t>Salário</t>
  </si>
  <si>
    <t>Sugestão de investimento</t>
  </si>
  <si>
    <t>CONFIGURAÇÕES</t>
  </si>
  <si>
    <t>CENÁRIOS</t>
  </si>
  <si>
    <t>DIVIDENDO</t>
  </si>
  <si>
    <t>Perfil</t>
  </si>
  <si>
    <t>Moderado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</si>
  <si>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</si>
  <si>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</si>
  <si>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</si>
  <si>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</si>
  <si>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</si>
  <si>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</si>
  <si>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</si>
  <si>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DESENVOLVIMENTO</t>
  </si>
  <si>
    <t>HOTELARIAS</t>
  </si>
  <si>
    <t>FOF's</t>
  </si>
  <si>
    <t>Conservador</t>
  </si>
  <si>
    <t>Conservador-PAPEL</t>
  </si>
  <si>
    <t>Conservador-TIJOLO</t>
  </si>
  <si>
    <t>Conservador-HÍBRIDOS</t>
  </si>
  <si>
    <t>Conservador-FOF's</t>
  </si>
  <si>
    <t>Conservador-DESENVOLVIMENTO</t>
  </si>
  <si>
    <t>Conservador-HOTELARIAS</t>
  </si>
  <si>
    <t>CHAVE</t>
  </si>
  <si>
    <t>PERFIL</t>
  </si>
  <si>
    <t>%</t>
  </si>
  <si>
    <t>Agressivo</t>
  </si>
  <si>
    <t>Moderado-PAPEL</t>
  </si>
  <si>
    <t>Moderado-TIJOLO</t>
  </si>
  <si>
    <t>Moderado-HÍBRIDOS</t>
  </si>
  <si>
    <t>Moderado-FOF's</t>
  </si>
  <si>
    <t>Moderado-DESENVOLVIMENTO</t>
  </si>
  <si>
    <t>Moderado-HOTELARIAS</t>
  </si>
  <si>
    <t>Agressivo-PAPEL</t>
  </si>
  <si>
    <t>Agressivo-TIJOLO</t>
  </si>
  <si>
    <t>Agressivo-HÍBRIDOS</t>
  </si>
  <si>
    <t>Agressivo-FOF's</t>
  </si>
  <si>
    <t>Agressivo-DESENVOLVIMENTO</t>
  </si>
  <si>
    <t>Agressivo-HOTELARIAS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</si>
</sst>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71" formatCode="&quot;R$&quot;\ #,##0.00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0"/>
      <name val="Segoe UI"/>
      <family val="2"/>
    </font>
    <font>
      <b/>
      <sz val="14"/>
      <color theme="0"/>
      <name val="Segoe UI"/>
      <family val="2"/>
    </font>
    <font>
      <b/>
      <sz val="12"/>
      <color theme="1"/>
      <name val="Segoe UI"/>
      <family val="2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sz val="11"/>
      <color theme="0"/>
      <name val="Segoe UI"/>
      <family val="2"/>
    </font>
    <font>
      <sz val="12"/>
      <color theme="1"/>
      <name val="Segoe UI"/>
      <family val="2"/>
    </font>
    <font>
      <b/>
      <sz val="16"/>
      <color theme="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theme="2" tint="-9.9948118533890809E-2"/>
      </left>
      <right style="medium">
        <color theme="2" tint="-9.9948118533890809E-2"/>
      </right>
      <top style="medium">
        <color indexed="64"/>
      </top>
      <bottom style="medium">
        <color theme="2" tint="-9.9948118533890809E-2"/>
      </bottom>
      <diagonal/>
    </border>
    <border>
      <left style="medium">
        <color theme="2" tint="-9.9948118533890809E-2"/>
      </left>
      <right style="medium">
        <color theme="2" tint="-9.9948118533890809E-2"/>
      </right>
      <top style="medium">
        <color theme="2" tint="-9.9948118533890809E-2"/>
      </top>
      <bottom style="medium">
        <color theme="2" tint="-9.9948118533890809E-2"/>
      </bottom>
      <diagonal/>
    </border>
    <border>
      <left style="medium">
        <color indexed="64"/>
      </left>
      <right style="medium">
        <color theme="2" tint="-9.9948118533890809E-2"/>
      </right>
      <top style="medium">
        <color indexed="64"/>
      </top>
      <bottom style="medium">
        <color theme="2" tint="-9.9948118533890809E-2"/>
      </bottom>
      <diagonal/>
    </border>
    <border>
      <left style="medium">
        <color theme="2" tint="-9.9948118533890809E-2"/>
      </left>
      <right style="medium">
        <color indexed="64"/>
      </right>
      <top style="medium">
        <color indexed="64"/>
      </top>
      <bottom style="medium">
        <color theme="2" tint="-9.9948118533890809E-2"/>
      </bottom>
      <diagonal/>
    </border>
    <border>
      <left style="medium">
        <color indexed="64"/>
      </left>
      <right style="medium">
        <color theme="2" tint="-9.9948118533890809E-2"/>
      </right>
      <top style="medium">
        <color theme="2" tint="-9.9948118533890809E-2"/>
      </top>
      <bottom style="medium">
        <color theme="2" tint="-9.9948118533890809E-2"/>
      </bottom>
      <diagonal/>
    </border>
    <border>
      <left style="medium">
        <color theme="2" tint="-9.9948118533890809E-2"/>
      </left>
      <right style="medium">
        <color indexed="64"/>
      </right>
      <top style="medium">
        <color theme="2" tint="-9.9948118533890809E-2"/>
      </top>
      <bottom style="medium">
        <color theme="2" tint="-9.9948118533890809E-2"/>
      </bottom>
      <diagonal/>
    </border>
    <border>
      <left style="medium">
        <color indexed="64"/>
      </left>
      <right style="medium">
        <color theme="2" tint="-9.9948118533890809E-2"/>
      </right>
      <top style="medium">
        <color theme="2" tint="-9.9948118533890809E-2"/>
      </top>
      <bottom style="medium">
        <color indexed="64"/>
      </bottom>
      <diagonal/>
    </border>
    <border>
      <left style="medium">
        <color theme="2" tint="-9.9948118533890809E-2"/>
      </left>
      <right style="medium">
        <color theme="2" tint="-9.9948118533890809E-2"/>
      </right>
      <top style="medium">
        <color theme="2" tint="-9.9948118533890809E-2"/>
      </top>
      <bottom style="medium">
        <color indexed="64"/>
      </bottom>
      <diagonal/>
    </border>
    <border>
      <left style="medium">
        <color theme="2" tint="-9.9948118533890809E-2"/>
      </left>
      <right style="medium">
        <color indexed="64"/>
      </right>
      <top style="medium">
        <color theme="2" tint="-9.9948118533890809E-2"/>
      </top>
      <bottom style="medium">
        <color indexed="64"/>
      </bottom>
      <diagonal/>
    </border>
    <border>
      <left style="medium">
        <color indexed="64"/>
      </left>
      <right style="medium">
        <color theme="2" tint="-9.9948118533890809E-2"/>
      </right>
      <top/>
      <bottom style="medium">
        <color theme="2" tint="-9.9948118533890809E-2"/>
      </bottom>
      <diagonal/>
    </border>
    <border>
      <left style="medium">
        <color theme="2" tint="-9.9948118533890809E-2"/>
      </left>
      <right style="medium">
        <color indexed="64"/>
      </right>
      <top/>
      <bottom style="medium">
        <color theme="2" tint="-9.9948118533890809E-2"/>
      </bottom>
      <diagonal/>
    </border>
    <border>
      <left style="medium">
        <color theme="2" tint="-9.9948118533890809E-2"/>
      </left>
      <right style="medium">
        <color theme="2" tint="-9.9948118533890809E-2"/>
      </right>
      <top/>
      <bottom style="medium">
        <color theme="2" tint="-9.9948118533890809E-2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51">
    <xf numFmtId="0" fontId="0" fillId="0" borderId="0" xfId="0"/>
    <xf numFmtId="0" fontId="4" fillId="0" borderId="0" xfId="0" applyFont="1"/>
    <xf numFmtId="0" fontId="0" fillId="0" borderId="0" xfId="0" applyAlignment="1">
      <alignment horizontal="center"/>
    </xf>
    <xf numFmtId="9" fontId="0" fillId="0" borderId="0" xfId="0" applyNumberFormat="1"/>
    <xf numFmtId="0" fontId="5" fillId="5" borderId="1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6" fillId="5" borderId="2" xfId="0" applyFont="1" applyFill="1" applyBorder="1" applyAlignment="1"/>
    <xf numFmtId="171" fontId="8" fillId="4" borderId="17" xfId="1" applyNumberFormat="1" applyFont="1" applyFill="1" applyBorder="1" applyAlignment="1">
      <alignment horizontal="center"/>
    </xf>
    <xf numFmtId="10" fontId="8" fillId="4" borderId="12" xfId="0" applyNumberFormat="1" applyFont="1" applyFill="1" applyBorder="1" applyAlignment="1">
      <alignment horizontal="center"/>
    </xf>
    <xf numFmtId="171" fontId="8" fillId="4" borderId="15" xfId="0" applyNumberFormat="1" applyFont="1" applyFill="1" applyBorder="1" applyAlignment="1">
      <alignment horizontal="center"/>
    </xf>
    <xf numFmtId="0" fontId="9" fillId="0" borderId="0" xfId="0" applyFont="1"/>
    <xf numFmtId="0" fontId="5" fillId="3" borderId="1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10" fillId="3" borderId="2" xfId="0" applyFont="1" applyFill="1" applyBorder="1"/>
    <xf numFmtId="0" fontId="5" fillId="3" borderId="3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12" fillId="3" borderId="5" xfId="0" applyFont="1" applyFill="1" applyBorder="1" applyAlignment="1">
      <alignment horizontal="center"/>
    </xf>
    <xf numFmtId="0" fontId="11" fillId="4" borderId="9" xfId="0" applyFont="1" applyFill="1" applyBorder="1"/>
    <xf numFmtId="8" fontId="9" fillId="4" borderId="7" xfId="0" applyNumberFormat="1" applyFont="1" applyFill="1" applyBorder="1"/>
    <xf numFmtId="8" fontId="9" fillId="4" borderId="10" xfId="0" applyNumberFormat="1" applyFont="1" applyFill="1" applyBorder="1"/>
    <xf numFmtId="0" fontId="11" fillId="4" borderId="11" xfId="0" applyFont="1" applyFill="1" applyBorder="1"/>
    <xf numFmtId="8" fontId="9" fillId="4" borderId="8" xfId="0" applyNumberFormat="1" applyFont="1" applyFill="1" applyBorder="1"/>
    <xf numFmtId="8" fontId="9" fillId="4" borderId="12" xfId="0" applyNumberFormat="1" applyFont="1" applyFill="1" applyBorder="1"/>
    <xf numFmtId="0" fontId="11" fillId="4" borderId="13" xfId="0" applyFont="1" applyFill="1" applyBorder="1"/>
    <xf numFmtId="8" fontId="9" fillId="4" borderId="14" xfId="0" applyNumberFormat="1" applyFont="1" applyFill="1" applyBorder="1"/>
    <xf numFmtId="8" fontId="9" fillId="4" borderId="15" xfId="0" applyNumberFormat="1" applyFont="1" applyFill="1" applyBorder="1"/>
    <xf numFmtId="0" fontId="7" fillId="4" borderId="16" xfId="0" applyFont="1" applyFill="1" applyBorder="1" applyAlignment="1">
      <alignment horizontal="left"/>
    </xf>
    <xf numFmtId="0" fontId="7" fillId="4" borderId="18" xfId="0" applyFont="1" applyFill="1" applyBorder="1" applyAlignment="1">
      <alignment horizontal="left"/>
    </xf>
    <xf numFmtId="0" fontId="7" fillId="4" borderId="11" xfId="0" applyFont="1" applyFill="1" applyBorder="1" applyAlignment="1">
      <alignment horizontal="left"/>
    </xf>
    <xf numFmtId="0" fontId="7" fillId="4" borderId="8" xfId="0" applyFont="1" applyFill="1" applyBorder="1" applyAlignment="1">
      <alignment horizontal="left"/>
    </xf>
    <xf numFmtId="0" fontId="7" fillId="4" borderId="13" xfId="0" applyFont="1" applyFill="1" applyBorder="1" applyAlignment="1">
      <alignment horizontal="left"/>
    </xf>
    <xf numFmtId="0" fontId="7" fillId="4" borderId="14" xfId="0" applyFont="1" applyFill="1" applyBorder="1" applyAlignment="1">
      <alignment horizontal="left"/>
    </xf>
    <xf numFmtId="0" fontId="11" fillId="0" borderId="16" xfId="0" applyFont="1" applyBorder="1" applyAlignment="1">
      <alignment horizontal="left"/>
    </xf>
    <xf numFmtId="0" fontId="11" fillId="0" borderId="18" xfId="0" applyFont="1" applyBorder="1" applyAlignment="1">
      <alignment horizontal="left"/>
    </xf>
    <xf numFmtId="0" fontId="11" fillId="0" borderId="11" xfId="0" applyFont="1" applyBorder="1" applyAlignment="1">
      <alignment horizontal="left"/>
    </xf>
    <xf numFmtId="0" fontId="11" fillId="0" borderId="8" xfId="0" applyFont="1" applyBorder="1" applyAlignment="1">
      <alignment horizontal="left"/>
    </xf>
    <xf numFmtId="0" fontId="11" fillId="4" borderId="0" xfId="0" applyFont="1" applyFill="1" applyBorder="1"/>
    <xf numFmtId="0" fontId="2" fillId="2" borderId="0" xfId="3" applyBorder="1"/>
    <xf numFmtId="0" fontId="2" fillId="2" borderId="0" xfId="3"/>
    <xf numFmtId="171" fontId="0" fillId="0" borderId="0" xfId="0" applyNumberFormat="1"/>
    <xf numFmtId="171" fontId="0" fillId="0" borderId="0" xfId="0" applyNumberFormat="1" applyAlignment="1">
      <alignment horizontal="center"/>
    </xf>
    <xf numFmtId="0" fontId="2" fillId="2" borderId="0" xfId="3" applyAlignment="1">
      <alignment horizontal="center"/>
    </xf>
    <xf numFmtId="0" fontId="3" fillId="6" borderId="0" xfId="0" applyFont="1" applyFill="1" applyAlignment="1">
      <alignment horizontal="center"/>
    </xf>
    <xf numFmtId="0" fontId="0" fillId="6" borderId="0" xfId="0" applyFill="1"/>
    <xf numFmtId="171" fontId="0" fillId="6" borderId="0" xfId="0" applyNumberFormat="1" applyFill="1"/>
    <xf numFmtId="9" fontId="2" fillId="2" borderId="0" xfId="2" applyFont="1" applyFill="1"/>
    <xf numFmtId="0" fontId="7" fillId="0" borderId="12" xfId="0" applyFont="1" applyBorder="1" applyAlignment="1">
      <alignment horizontal="center"/>
    </xf>
    <xf numFmtId="10" fontId="7" fillId="0" borderId="12" xfId="2" applyNumberFormat="1" applyFont="1" applyBorder="1" applyAlignment="1">
      <alignment horizontal="center"/>
    </xf>
    <xf numFmtId="8" fontId="7" fillId="4" borderId="12" xfId="0" applyNumberFormat="1" applyFont="1" applyFill="1" applyBorder="1" applyAlignment="1">
      <alignment horizontal="center"/>
    </xf>
    <xf numFmtId="8" fontId="7" fillId="4" borderId="15" xfId="0" applyNumberFormat="1" applyFont="1" applyFill="1" applyBorder="1" applyAlignment="1">
      <alignment horizontal="center"/>
    </xf>
    <xf numFmtId="171" fontId="7" fillId="0" borderId="10" xfId="1" applyNumberFormat="1" applyFont="1" applyBorder="1" applyAlignment="1">
      <alignment horizontal="center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1433272</xdr:colOff>
      <xdr:row>0</xdr:row>
      <xdr:rowOff>38101</xdr:rowOff>
    </xdr:from>
    <xdr:to>
      <xdr:col>3</xdr:col>
      <xdr:colOff>272087</xdr:colOff>
      <xdr:row>7</xdr:row>
      <xdr:rowOff>123825</xdr:rowOff>
    </xdr:to>
    <xdr:pic>
      <xdr:nvPicPr>
        <xdr:cNvPr id="2" name="Imagem 1" descr="DIO - Crunchbase Company Profile &amp; Funding">
          <a:extLst>
            <a:ext uri="{FF2B5EF4-FFF2-40B4-BE49-F238E27FC236}">
              <a16:creationId xmlns:a16="http://schemas.microsoft.com/office/drawing/2014/main" id="{9913D034-B7AA-2C7E-7E5E-0371B9795C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2872" y="38101"/>
          <a:ext cx="3601315" cy="1419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B7AB9-0DFC-4012-A40F-43B645FDA433}">
  <dimension ref="A8:F38"/>
  <sheetViews>
    <sheetView showGridLines="0" tabSelected="1" workbookViewId="0">
      <selection activeCell="D16" sqref="D16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0" defaultRowHeight="15" x14ac:dyDescent="0.25"/>
  <cols>
    <col min="1" max="1" width="9.140625" customWidth="1"/>
    <col min="2" max="2" width="40.5703125" bestFit="1" customWidth="1"/>
    <col min="3" max="3" width="30.85546875" bestFit="1" customWidth="1"/>
    <col min="4" max="4" width="22.42578125" customWidth="1"/>
    <col min="5" max="5" width="24.85546875" bestFit="1" customWidth="1"/>
    <col min="6" max="6" width="12.28515625" bestFit="1" customWidth="1"/>
    <col min="7" max="7" width="9.140625" customWidth="1"/>
    <col min="8" max="8" width="9.140625" hidden="1" customWidth="1"/>
    <col min="9" max="16384" width="9.140625" hidden="1"/>
  </cols>
  <sheetData>
    <row r="8" spans="2:4" ht="15.75" thickBot="1" x14ac:dyDescent="0.3"/>
    <row r="9" spans="2:4" ht="30.75" x14ac:dyDescent="0.55000000000000004">
      <c r="B9" s="4" t="s">
        <v>14</v>
      </c>
      <c r="C9" s="5"/>
      <c r="D9" s="6"/>
    </row>
    <row r="10" spans="2:4" ht="18" thickBot="1" x14ac:dyDescent="0.35">
      <c r="B10" s="26" t="s">
        <v>12</v>
      </c>
      <c r="C10" s="27"/>
      <c r="D10" s="7">
        <v>5000</v>
      </c>
    </row>
    <row r="11" spans="2:4" ht="18" thickBot="1" x14ac:dyDescent="0.35">
      <c r="B11" s="28" t="s">
        <v>11</v>
      </c>
      <c r="C11" s="29"/>
      <c r="D11" s="8">
        <v>6.0000000000000001E-3</v>
      </c>
    </row>
    <row r="12" spans="2:4" ht="18" thickBot="1" x14ac:dyDescent="0.35">
      <c r="B12" s="30" t="s">
        <v>13</v>
      </c>
      <c r="C12" s="31"/>
      <c r="D12" s="9">
        <f>D10*30%</f>
        <v>1500</v>
      </c>
    </row>
    <row r="13" spans="2:4" ht="17.25" thickBot="1" x14ac:dyDescent="0.35">
      <c r="B13" s="10"/>
      <c r="C13" s="10"/>
      <c r="D13" s="10"/>
    </row>
    <row r="14" spans="2:4" ht="31.5" thickBot="1" x14ac:dyDescent="0.6">
      <c r="B14" s="11" t="s">
        <v>5</v>
      </c>
      <c r="C14" s="12"/>
      <c r="D14" s="13"/>
    </row>
    <row r="15" spans="2:4" ht="18" thickBot="1" x14ac:dyDescent="0.35">
      <c r="B15" s="32" t="s">
        <v>0</v>
      </c>
      <c r="C15" s="33"/>
      <c r="D15" s="50">
        <v>200</v>
      </c>
    </row>
    <row r="16" spans="2:4" ht="18" thickBot="1" x14ac:dyDescent="0.35">
      <c r="B16" s="34" t="s">
        <v>1</v>
      </c>
      <c r="C16" s="35"/>
      <c r="D16" s="46">
        <v>10</v>
      </c>
    </row>
    <row r="17" spans="1:4" ht="18" thickBot="1" x14ac:dyDescent="0.35">
      <c r="B17" s="34" t="s">
        <v>2</v>
      </c>
      <c r="C17" s="35"/>
      <c r="D17" s="47">
        <v>1.0789999999999999E-2</v>
      </c>
    </row>
    <row r="18" spans="1:4" ht="18" thickBot="1" x14ac:dyDescent="0.35">
      <c r="B18" s="28" t="s">
        <v>3</v>
      </c>
      <c r="C18" s="29"/>
      <c r="D18" s="48">
        <f>FV(taxa_mensal,qtd_anos*12,aporte*-1)</f>
        <v>48656.842506034438</v>
      </c>
    </row>
    <row r="19" spans="1:4" ht="18" thickBot="1" x14ac:dyDescent="0.35">
      <c r="B19" s="30" t="s">
        <v>4</v>
      </c>
      <c r="C19" s="31"/>
      <c r="D19" s="49">
        <f>patrimonio*rendimento_carteira</f>
        <v>291.94105503620665</v>
      </c>
    </row>
    <row r="20" spans="1:4" ht="17.25" thickBot="1" x14ac:dyDescent="0.35">
      <c r="B20" s="10"/>
      <c r="C20" s="10"/>
      <c r="D20" s="10"/>
    </row>
    <row r="21" spans="1:4" ht="31.5" thickBot="1" x14ac:dyDescent="0.6">
      <c r="B21" s="14" t="s">
        <v>15</v>
      </c>
      <c r="C21" s="15"/>
      <c r="D21" s="16" t="s">
        <v>16</v>
      </c>
    </row>
    <row r="22" spans="1:4" ht="18" thickBot="1" x14ac:dyDescent="0.35">
      <c r="A22" s="1">
        <v>2</v>
      </c>
      <c r="B22" s="17" t="s">
        <v>6</v>
      </c>
      <c r="C22" s="18">
        <f>FV($D$17,$A22*12,$D$15*-1)</f>
        <v>5445.5254595290435</v>
      </c>
      <c r="D22" s="19">
        <f>C22*rendimento_carteira</f>
        <v>32.673152757174265</v>
      </c>
    </row>
    <row r="23" spans="1:4" ht="18" thickBot="1" x14ac:dyDescent="0.35">
      <c r="A23" s="1">
        <v>5</v>
      </c>
      <c r="B23" s="20" t="s">
        <v>7</v>
      </c>
      <c r="C23" s="21">
        <f>FV($D$17,$A23*12,$D$15*-1)</f>
        <v>16755.382799697527</v>
      </c>
      <c r="D23" s="22">
        <f>C23*rendimento_carteira</f>
        <v>100.53229679818516</v>
      </c>
    </row>
    <row r="24" spans="1:4" ht="18" thickBot="1" x14ac:dyDescent="0.35">
      <c r="A24" s="1">
        <v>10</v>
      </c>
      <c r="B24" s="20" t="s">
        <v>8</v>
      </c>
      <c r="C24" s="21">
        <f>FV($D$17,$A24*12,$D$15*-1)</f>
        <v>48656.842506034438</v>
      </c>
      <c r="D24" s="22">
        <f>C24*rendimento_carteira</f>
        <v>291.94105503620665</v>
      </c>
    </row>
    <row r="25" spans="1:4" ht="18" thickBot="1" x14ac:dyDescent="0.35">
      <c r="A25" s="1">
        <v>20</v>
      </c>
      <c r="B25" s="20" t="s">
        <v>9</v>
      </c>
      <c r="C25" s="21">
        <f>FV($D$17,$A25*12,$D$15*-1)</f>
        <v>225039.68001941612</v>
      </c>
      <c r="D25" s="22">
        <f>C25*rendimento_carteira</f>
        <v>1350.2380801164968</v>
      </c>
    </row>
    <row r="26" spans="1:4" ht="18" thickBot="1" x14ac:dyDescent="0.35">
      <c r="A26" s="1">
        <v>30</v>
      </c>
      <c r="B26" s="23" t="s">
        <v>10</v>
      </c>
      <c r="C26" s="24">
        <f>FV($D$17,$A26*12,$D$15*-1)</f>
        <v>864433.93100094295</v>
      </c>
      <c r="D26" s="25">
        <f>C26*rendimento_carteira</f>
        <v>5186.6035860056581</v>
      </c>
    </row>
    <row r="28" spans="1:4" x14ac:dyDescent="0.25">
      <c r="B28" s="37" t="s">
        <v>17</v>
      </c>
      <c r="C28" s="41" t="s">
        <v>18</v>
      </c>
      <c r="D28" s="38"/>
    </row>
    <row r="29" spans="1:4" ht="17.25" x14ac:dyDescent="0.3">
      <c r="B29" s="36" t="s">
        <v>19</v>
      </c>
      <c r="C29" s="40">
        <f>aporte</f>
        <v>200</v>
      </c>
    </row>
    <row r="31" spans="1:4" x14ac:dyDescent="0.25">
      <c r="B31" s="42" t="s">
        <v>20</v>
      </c>
      <c r="C31" s="42" t="s">
        <v>21</v>
      </c>
      <c r="D31" s="42" t="s">
        <v>22</v>
      </c>
    </row>
    <row r="32" spans="1:4" x14ac:dyDescent="0.25">
      <c r="B32" s="2" t="s">
        <v>23</v>
      </c>
      <c r="C32" s="3">
        <f>VLOOKUP($C$28&amp;"-"&amp;B32,Planilha2!$A:$D,4,FALSE)</f>
        <v>0.32</v>
      </c>
      <c r="D32" s="39">
        <f>C32*$C$29</f>
        <v>64</v>
      </c>
    </row>
    <row r="33" spans="2:4" x14ac:dyDescent="0.25">
      <c r="B33" s="2" t="s">
        <v>24</v>
      </c>
      <c r="C33" s="3">
        <f>VLOOKUP($C$28&amp;"-"&amp;B33,Planilha2!$A:$D,4,FALSE)</f>
        <v>0.35</v>
      </c>
      <c r="D33" s="39">
        <f t="shared" ref="D33:D37" si="0">C33*$C$29</f>
        <v>70</v>
      </c>
    </row>
    <row r="34" spans="2:4" x14ac:dyDescent="0.25">
      <c r="B34" s="2" t="s">
        <v>25</v>
      </c>
      <c r="C34" s="3">
        <f>VLOOKUP($C$28&amp;"-"&amp;B34,Planilha2!$A:$D,4,FALSE)</f>
        <v>0.08</v>
      </c>
      <c r="D34" s="39">
        <f t="shared" si="0"/>
        <v>16</v>
      </c>
    </row>
    <row r="35" spans="2:4" x14ac:dyDescent="0.25">
      <c r="B35" s="2" t="s">
        <v>28</v>
      </c>
      <c r="C35" s="3">
        <f>VLOOKUP($C$28&amp;"-"&amp;B35,Planilha2!$A:$D,4,FALSE)</f>
        <v>0.05</v>
      </c>
      <c r="D35" s="39">
        <f t="shared" si="0"/>
        <v>10</v>
      </c>
    </row>
    <row r="36" spans="2:4" x14ac:dyDescent="0.25">
      <c r="B36" s="2" t="s">
        <v>26</v>
      </c>
      <c r="C36" s="3">
        <f>VLOOKUP($C$28&amp;"-"&amp;B36,Planilha2!$A:$D,4,FALSE)</f>
        <v>0.1</v>
      </c>
      <c r="D36" s="39">
        <f t="shared" si="0"/>
        <v>20</v>
      </c>
    </row>
    <row r="37" spans="2:4" x14ac:dyDescent="0.25">
      <c r="B37" s="2" t="s">
        <v>27</v>
      </c>
      <c r="C37" s="3">
        <f>VLOOKUP($C$28&amp;"-"&amp;B37,Planilha2!$A:$D,4,FALSE)</f>
        <v>0.1</v>
      </c>
      <c r="D37" s="39">
        <f t="shared" si="0"/>
        <v>20</v>
      </c>
    </row>
    <row r="38" spans="2:4" x14ac:dyDescent="0.25">
      <c r="B38" s="43"/>
      <c r="C38" s="43"/>
      <c r="D38" s="44">
        <f>SUM(D32:D37)</f>
        <v>200</v>
      </c>
    </row>
  </sheetData>
  <mergeCells count="11">
    <mergeCell ref="B9:C9"/>
    <mergeCell ref="B10:C10"/>
    <mergeCell ref="B11:C11"/>
    <mergeCell ref="B12:C12"/>
    <mergeCell ref="B21:C21"/>
    <mergeCell ref="B15:C15"/>
    <mergeCell ref="B16:C16"/>
    <mergeCell ref="B17:C17"/>
    <mergeCell ref="B18:C18"/>
    <mergeCell ref="B19:C19"/>
    <mergeCell ref="B14:C14"/>
  </mergeCells>
  <dataValidations count="1">
    <dataValidation type="list" allowBlank="1" showInputMessage="1" showErrorMessage="1" sqref="C28" xr:uid="{79164BD8-723D-47A5-8F70-3CDB6519FE66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BA5C4-C86F-4B9C-A72B-00A0868E60FD}">
  <dimension ref="A1:H19"/>
  <sheetViews>
    <sheetView workbookViewId="0">
      <selection activeCell="D12" sqref="D12"/>
    </sheetView>
  </sheetViews>
  <sheetFormatPr defaultRowHeight="15" x14ac:dyDescent="0.25"/>
  <cols>
    <col min="1" max="1" width="30.85546875" bestFit="1" customWidth="1"/>
    <col min="2" max="2" width="14.28515625" customWidth="1"/>
    <col min="3" max="3" width="18.5703125" bestFit="1" customWidth="1"/>
    <col min="4" max="4" width="9.7109375" customWidth="1"/>
    <col min="7" max="7" width="16.85546875" bestFit="1" customWidth="1"/>
  </cols>
  <sheetData>
    <row r="1" spans="1:8" x14ac:dyDescent="0.25">
      <c r="A1" s="2" t="s">
        <v>36</v>
      </c>
      <c r="B1" s="2" t="s">
        <v>37</v>
      </c>
      <c r="C1" s="2" t="s">
        <v>20</v>
      </c>
      <c r="D1" s="2" t="s">
        <v>38</v>
      </c>
    </row>
    <row r="2" spans="1:8" x14ac:dyDescent="0.25">
      <c r="A2" s="3" t="s">
        <v>30</v>
      </c>
      <c r="B2" t="s">
        <v>29</v>
      </c>
      <c r="C2" s="2" t="s">
        <v>23</v>
      </c>
      <c r="D2" s="3">
        <v>0.3</v>
      </c>
    </row>
    <row r="3" spans="1:8" x14ac:dyDescent="0.25">
      <c r="A3" s="3" t="s">
        <v>31</v>
      </c>
      <c r="B3" t="s">
        <v>29</v>
      </c>
      <c r="C3" s="2" t="s">
        <v>24</v>
      </c>
      <c r="D3" s="3">
        <v>0.5</v>
      </c>
    </row>
    <row r="4" spans="1:8" x14ac:dyDescent="0.25">
      <c r="A4" s="3" t="s">
        <v>32</v>
      </c>
      <c r="B4" t="s">
        <v>29</v>
      </c>
      <c r="C4" s="2" t="s">
        <v>25</v>
      </c>
      <c r="D4" s="3">
        <v>0.1</v>
      </c>
      <c r="G4" s="38" t="s">
        <v>41</v>
      </c>
      <c r="H4" s="45">
        <f>VLOOKUP(G4,$A:$D,4,FALSE)</f>
        <v>0.35</v>
      </c>
    </row>
    <row r="5" spans="1:8" x14ac:dyDescent="0.25">
      <c r="A5" s="3" t="s">
        <v>33</v>
      </c>
      <c r="B5" t="s">
        <v>29</v>
      </c>
      <c r="C5" s="2" t="s">
        <v>28</v>
      </c>
      <c r="D5" s="3">
        <v>0.1</v>
      </c>
    </row>
    <row r="6" spans="1:8" x14ac:dyDescent="0.25">
      <c r="A6" s="3" t="s">
        <v>34</v>
      </c>
      <c r="B6" t="s">
        <v>29</v>
      </c>
      <c r="C6" s="2" t="s">
        <v>26</v>
      </c>
      <c r="D6" s="3">
        <v>0</v>
      </c>
    </row>
    <row r="7" spans="1:8" x14ac:dyDescent="0.25">
      <c r="A7" s="3" t="s">
        <v>35</v>
      </c>
      <c r="B7" t="s">
        <v>29</v>
      </c>
      <c r="C7" s="2" t="s">
        <v>27</v>
      </c>
      <c r="D7" s="3">
        <v>0</v>
      </c>
    </row>
    <row r="8" spans="1:8" x14ac:dyDescent="0.25">
      <c r="A8" s="3" t="s">
        <v>40</v>
      </c>
      <c r="B8" t="s">
        <v>18</v>
      </c>
      <c r="C8" s="2" t="s">
        <v>23</v>
      </c>
      <c r="D8" s="3">
        <v>0.32</v>
      </c>
    </row>
    <row r="9" spans="1:8" x14ac:dyDescent="0.25">
      <c r="A9" s="3" t="s">
        <v>41</v>
      </c>
      <c r="B9" t="s">
        <v>18</v>
      </c>
      <c r="C9" s="2" t="s">
        <v>24</v>
      </c>
      <c r="D9" s="3">
        <v>0.35</v>
      </c>
    </row>
    <row r="10" spans="1:8" x14ac:dyDescent="0.25">
      <c r="A10" s="3" t="s">
        <v>42</v>
      </c>
      <c r="B10" t="s">
        <v>18</v>
      </c>
      <c r="C10" s="2" t="s">
        <v>25</v>
      </c>
      <c r="D10" s="3">
        <v>0.08</v>
      </c>
    </row>
    <row r="11" spans="1:8" x14ac:dyDescent="0.25">
      <c r="A11" s="3" t="s">
        <v>43</v>
      </c>
      <c r="B11" t="s">
        <v>18</v>
      </c>
      <c r="C11" s="2" t="s">
        <v>28</v>
      </c>
      <c r="D11" s="3">
        <v>0.05</v>
      </c>
    </row>
    <row r="12" spans="1:8" x14ac:dyDescent="0.25">
      <c r="A12" s="3" t="s">
        <v>44</v>
      </c>
      <c r="B12" t="s">
        <v>18</v>
      </c>
      <c r="C12" s="2" t="s">
        <v>26</v>
      </c>
      <c r="D12" s="3">
        <v>0.1</v>
      </c>
    </row>
    <row r="13" spans="1:8" x14ac:dyDescent="0.25">
      <c r="A13" s="3" t="s">
        <v>45</v>
      </c>
      <c r="B13" t="s">
        <v>18</v>
      </c>
      <c r="C13" s="2" t="s">
        <v>27</v>
      </c>
      <c r="D13" s="3">
        <v>0.1</v>
      </c>
    </row>
    <row r="14" spans="1:8" x14ac:dyDescent="0.25">
      <c r="A14" s="3" t="s">
        <v>46</v>
      </c>
      <c r="B14" t="s">
        <v>39</v>
      </c>
      <c r="C14" s="2" t="s">
        <v>23</v>
      </c>
      <c r="D14" s="3">
        <v>0.5</v>
      </c>
    </row>
    <row r="15" spans="1:8" x14ac:dyDescent="0.25">
      <c r="A15" s="3" t="s">
        <v>47</v>
      </c>
      <c r="B15" t="s">
        <v>39</v>
      </c>
      <c r="C15" s="2" t="s">
        <v>24</v>
      </c>
      <c r="D15" s="3">
        <v>0.1</v>
      </c>
    </row>
    <row r="16" spans="1:8" x14ac:dyDescent="0.25">
      <c r="A16" s="3" t="s">
        <v>48</v>
      </c>
      <c r="B16" t="s">
        <v>39</v>
      </c>
      <c r="C16" s="2" t="s">
        <v>25</v>
      </c>
      <c r="D16" s="3">
        <v>0.05</v>
      </c>
    </row>
    <row r="17" spans="1:4" x14ac:dyDescent="0.25">
      <c r="A17" s="3" t="s">
        <v>49</v>
      </c>
      <c r="B17" t="s">
        <v>39</v>
      </c>
      <c r="C17" s="2" t="s">
        <v>28</v>
      </c>
      <c r="D17" s="3">
        <v>0.05</v>
      </c>
    </row>
    <row r="18" spans="1:4" x14ac:dyDescent="0.25">
      <c r="A18" s="3" t="s">
        <v>50</v>
      </c>
      <c r="B18" t="s">
        <v>39</v>
      </c>
      <c r="C18" s="2" t="s">
        <v>26</v>
      </c>
      <c r="D18" s="3">
        <v>0.2</v>
      </c>
    </row>
    <row r="19" spans="1:4" x14ac:dyDescent="0.25">
      <c r="A19" s="3" t="s">
        <v>51</v>
      </c>
      <c r="B19" t="s">
        <v>39</v>
      </c>
      <c r="C19" s="2" t="s">
        <v>27</v>
      </c>
      <c r="D19" s="3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Planilha1</vt:lpstr>
      <vt:lpstr>Planilha2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BEATRIZ MARQUES DE ANDRADE COSTA</dc:creator>
  <cp:lastModifiedBy>BEATRIZ MARQUES DE ANDRADE COSTA</cp:lastModifiedBy>
  <dcterms:created xsi:type="dcterms:W3CDTF">2026-01-20T01:31:03Z</dcterms:created>
  <dcterms:modified xsi:type="dcterms:W3CDTF">2026-01-20T11:39:17Z</dcterms:modified>
</cp:coreProperties>
</file>